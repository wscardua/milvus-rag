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_Executivo" sheetId="1" r:id="rId1"/>
    <sheet name="Premissas" sheetId="2" r:id="rId2"/>
    <sheet name="Cronograma_Desembolso" sheetId="3" r:id="rId3"/>
    <sheet name="Custo_Perfis" sheetId="4" r:id="rId4"/>
    <sheet name="SLA_Creditos" sheetId="5" r:id="rId5"/>
  </sheets>
  <calcPr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36" customWidth="1"/>
    <col min="3" max="3" width="3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2">
        <is>
          <t>Indicador</t>
        </is>
      </c>
      <c r="B1" t="inlineStr" s="2">
        <is>
          <t>Formula/Valor</t>
        </is>
      </c>
      <c r="C1" t="inlineStr" s="2">
        <is>
          <t>Interpretacao</t>
        </is>
      </c>
    </row>
    <row r="2">
      <c r="A2" t="inlineStr" s="0">
        <is>
          <t>Valor base</t>
        </is>
      </c>
      <c r="B2" s="0">
        <f>Premissas!B2</f>
      </c>
      <c r="C2" t="inlineStr" s="0">
        <is>
          <t>Referencia da clausula 5</t>
        </is>
      </c>
    </row>
    <row r="3">
      <c r="A3" t="inlineStr" s="0">
        <is>
          <t>Valor com contingencia</t>
        </is>
      </c>
      <c r="B3" s="0">
        <f>Premissas!B2*(1+Premissas!B3)</f>
      </c>
      <c r="C3" t="inlineStr" s="0">
        <is>
          <t>Preco base mais reserva tecnica</t>
        </is>
      </c>
    </row>
    <row r="4">
      <c r="A4" t="inlineStr" s="0">
        <is>
          <t>Total liquido por marcos</t>
        </is>
      </c>
      <c r="B4" s="0">
        <f>SUM(Cronograma_Desembolso!G2:G6)</f>
      </c>
      <c r="C4" t="inlineStr" s="0">
        <is>
          <t>Soma da aba Cronograma_Desembolso</t>
        </is>
      </c>
    </row>
    <row r="5">
      <c r="A5" t="inlineStr" s="0">
        <is>
          <t>Total custo por perfis</t>
        </is>
      </c>
      <c r="B5" s="0">
        <f>SUM(Custo_Perfis!D2:D8)</f>
      </c>
      <c r="C5" t="inlineStr" s="0">
        <is>
          <t>Soma da aba Custo_Perfis</t>
        </is>
      </c>
    </row>
    <row r="6">
      <c r="A6" t="inlineStr" s="0">
        <is>
          <t>Margem antes de impostos</t>
        </is>
      </c>
      <c r="B6" s="0">
        <f>B4-B5</f>
      </c>
      <c r="C6" t="inlineStr" s="0">
        <is>
          <t>Diferenca entre liquido e custos</t>
        </is>
      </c>
    </row>
    <row r="7">
      <c r="A7" t="inlineStr" s="0">
        <is>
          <t>Creditos SLA estimados</t>
        </is>
      </c>
      <c r="B7" s="0">
        <f>SUM(SLA_Creditos!D2:D5)</f>
      </c>
      <c r="C7" t="inlineStr" s="0">
        <is>
          <t>Soma da aba SLA_Creditos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36" customWidth="1"/>
    <col min="3" max="3" width="3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2">
        <is>
          <t>Parametro</t>
        </is>
      </c>
      <c r="B1" t="inlineStr" s="2">
        <is>
          <t>Valor</t>
        </is>
      </c>
      <c r="C1" t="inlineStr" s="2">
        <is>
          <t>Unidade</t>
        </is>
      </c>
      <c r="D1" t="inlineStr" s="2">
        <is>
          <t>Observacao</t>
        </is>
      </c>
    </row>
    <row r="2">
      <c r="A2" t="inlineStr" s="0">
        <is>
          <t>Preco base</t>
        </is>
      </c>
      <c r="B2" s="0">
        <v>1284000</v>
      </c>
      <c r="C2" t="inlineStr" s="0">
        <is>
          <t>BRL</t>
        </is>
      </c>
      <c r="D2" t="inlineStr" s="0">
        <is>
          <t>Valor antes de contingencia e reajuste</t>
        </is>
      </c>
    </row>
    <row r="3">
      <c r="A3" t="inlineStr" s="0">
        <is>
          <t>Contingencia</t>
        </is>
      </c>
      <c r="B3" s="0">
        <v>0.08</v>
      </c>
      <c r="C3" t="inlineStr" s="0">
        <is>
          <t>%</t>
        </is>
      </c>
      <c r="D3" t="inlineStr" s="0">
        <is>
          <t>Reserva tecnica para riscos aprovados</t>
        </is>
      </c>
    </row>
    <row r="4">
      <c r="A4" t="inlineStr" s="0">
        <is>
          <t>IPCA acumulado</t>
        </is>
      </c>
      <c r="B4" s="0">
        <v>0.052</v>
      </c>
      <c r="C4" t="inlineStr" s="0">
        <is>
          <t>%</t>
        </is>
      </c>
      <c r="D4" t="inlineStr" s="0">
        <is>
          <t>Exemplo sintetico para teste</t>
        </is>
      </c>
    </row>
    <row r="5">
      <c r="A5" t="inlineStr" s="0">
        <is>
          <t>Gatilho reajuste</t>
        </is>
      </c>
      <c r="B5" s="0">
        <v>0.04</v>
      </c>
      <c r="C5" t="inlineStr" s="0">
        <is>
          <t>%</t>
        </is>
      </c>
      <c r="D5" t="inlineStr" s="0">
        <is>
          <t>Reajuste apenas acima do gatilho</t>
        </is>
      </c>
    </row>
    <row r="6">
      <c r="A6" t="inlineStr" s="0">
        <is>
          <t>Limite credito atraso</t>
        </is>
      </c>
      <c r="B6" s="0">
        <v>0.08</v>
      </c>
      <c r="C6" t="inlineStr" s="0">
        <is>
          <t>%</t>
        </is>
      </c>
      <c r="D6" t="inlineStr" s="0">
        <is>
          <t>Teto por marco afetado</t>
        </is>
      </c>
    </row>
    <row r="7">
      <c r="A7" t="inlineStr" s="0">
        <is>
          <t>Credito diario atraso</t>
        </is>
      </c>
      <c r="B7" s="0">
        <v>0.0015</v>
      </c>
      <c r="C7" t="inlineStr" s="0">
        <is>
          <t>%</t>
        </is>
      </c>
      <c r="D7" t="inlineStr" s="0">
        <is>
          <t>0,15% ao dia</t>
        </is>
      </c>
    </row>
    <row r="8">
      <c r="A8" t="inlineStr" s="0">
        <is>
          <t>SLA contratado</t>
        </is>
      </c>
      <c r="B8" s="0">
        <v>0.995</v>
      </c>
      <c r="C8" t="inlineStr" s="0">
        <is>
          <t>%</t>
        </is>
      </c>
      <c r="D8" t="inlineStr" s="0">
        <is>
          <t>Disponibilidade mensal minima</t>
        </is>
      </c>
    </row>
  </sheetData>
</worksheet>
</file>

<file path=xl/worksheets/sheet3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36" customWidth="1"/>
    <col min="3" max="3" width="3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2">
        <is>
          <t>Marco</t>
        </is>
      </c>
      <c r="B1" t="inlineStr" s="2">
        <is>
          <t>Percentual</t>
        </is>
      </c>
      <c r="C1" t="inlineStr" s="2">
        <is>
          <t>Valor Base</t>
        </is>
      </c>
      <c r="D1" t="inlineStr" s="2">
        <is>
          <t>Reajuste Aplicavel</t>
        </is>
      </c>
      <c r="E1" t="inlineStr" s="2">
        <is>
          <t>Valor Corrigido</t>
        </is>
      </c>
      <c r="F1" t="inlineStr" s="2">
        <is>
          <t>Credito Atraso</t>
        </is>
      </c>
      <c r="G1" t="inlineStr" s="2">
        <is>
          <t>Valor Liquido</t>
        </is>
      </c>
    </row>
    <row r="2">
      <c r="A2" t="inlineStr" s="0">
        <is>
          <t>M1</t>
        </is>
      </c>
      <c r="B2" s="0">
        <v>0.15</v>
      </c>
      <c r="C2" s="0">
        <f>Premissas!B2*B2</f>
      </c>
      <c r="D2" s="0">
        <f>MAX(Premissas!B4-Premissas!B5,0)*C2</f>
      </c>
      <c r="E2" s="0">
        <f>C2+D2</f>
      </c>
      <c r="F2" s="0">
        <f>MIN(0*Premissas!B7*C2,Premissas!B6*C2)</f>
      </c>
      <c r="G2" s="0">
        <f>E2-F2</f>
      </c>
    </row>
    <row r="3">
      <c r="A3" t="inlineStr" s="0">
        <is>
          <t>M2</t>
        </is>
      </c>
      <c r="B3" s="0">
        <v>0.25</v>
      </c>
      <c r="C3" s="0">
        <f>Premissas!B2*B3</f>
      </c>
      <c r="D3" s="0">
        <f>MAX(Premissas!B4-Premissas!B5,0)*C3</f>
      </c>
      <c r="E3" s="0">
        <f>C3+D3</f>
      </c>
      <c r="F3" s="0">
        <f>MIN(0*Premissas!B7*C3,Premissas!B6*C3)</f>
      </c>
      <c r="G3" s="0">
        <f>E3-F3</f>
      </c>
    </row>
    <row r="4">
      <c r="A4" t="inlineStr" s="0">
        <is>
          <t>M3</t>
        </is>
      </c>
      <c r="B4" s="0">
        <v>0.25</v>
      </c>
      <c r="C4" s="0">
        <f>Premissas!B2*B4</f>
      </c>
      <c r="D4" s="0">
        <f>MAX(Premissas!B4-Premissas!B5,0)*C4</f>
      </c>
      <c r="E4" s="0">
        <f>C4+D4</f>
      </c>
      <c r="F4" s="0">
        <f>MIN(7*Premissas!B7*C4,Premissas!B6*C4)</f>
      </c>
      <c r="G4" s="0">
        <f>E4-F4</f>
      </c>
    </row>
    <row r="5">
      <c r="A5" t="inlineStr" s="0">
        <is>
          <t>M4</t>
        </is>
      </c>
      <c r="B5" s="0">
        <v>0.25</v>
      </c>
      <c r="C5" s="0">
        <f>Premissas!B2*B5</f>
      </c>
      <c r="D5" s="0">
        <f>MAX(Premissas!B4-Premissas!B5,0)*C5</f>
      </c>
      <c r="E5" s="0">
        <f>C5+D5</f>
      </c>
      <c r="F5" s="0">
        <f>MIN(12*Premissas!B7*C5,Premissas!B6*C5)</f>
      </c>
      <c r="G5" s="0">
        <f>E5-F5</f>
      </c>
    </row>
    <row r="6">
      <c r="A6" t="inlineStr" s="0">
        <is>
          <t>M5</t>
        </is>
      </c>
      <c r="B6" s="0">
        <v>0.1</v>
      </c>
      <c r="C6" s="0">
        <f>Premissas!B2*B6</f>
      </c>
      <c r="D6" s="0">
        <f>MAX(Premissas!B4-Premissas!B5,0)*C6</f>
      </c>
      <c r="E6" s="0">
        <f>C6+D6</f>
      </c>
      <c r="F6" s="0">
        <f>MIN(0*Premissas!B7*C6,Premissas!B6*C6)</f>
      </c>
      <c r="G6" s="0">
        <f>E6-F6</f>
      </c>
    </row>
  </sheetData>
</worksheet>
</file>

<file path=xl/worksheets/sheet4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36" customWidth="1"/>
    <col min="3" max="3" width="3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2">
        <is>
          <t>Perfil</t>
        </is>
      </c>
      <c r="B1" t="inlineStr" s="2">
        <is>
          <t>Horas</t>
        </is>
      </c>
      <c r="C1" t="inlineStr" s="2">
        <is>
          <t>Taxa Hora</t>
        </is>
      </c>
      <c r="D1" t="inlineStr" s="2">
        <is>
          <t>Custo</t>
        </is>
      </c>
      <c r="E1" t="inlineStr" s="2">
        <is>
          <t>Observacao</t>
        </is>
      </c>
    </row>
    <row r="2">
      <c r="A2" t="inlineStr" s="0">
        <is>
          <t>Arquiteto</t>
        </is>
      </c>
      <c r="B2" s="0">
        <v>420</v>
      </c>
      <c r="C2" s="0">
        <v>390</v>
      </c>
      <c r="D2" s="0">
        <f>B2*C2</f>
      </c>
      <c r="E2" t="inlineStr" s="0">
        <is>
          <t>Base sintetica para confrontar valor contratual</t>
        </is>
      </c>
    </row>
    <row r="3">
      <c r="A3" t="inlineStr" s="0">
        <is>
          <t>Engenheiro Backend</t>
        </is>
      </c>
      <c r="B3" s="0">
        <v>1320</v>
      </c>
      <c r="C3" s="0">
        <v>280</v>
      </c>
      <c r="D3" s="0">
        <f>B3*C3</f>
      </c>
      <c r="E3" t="inlineStr" s="0">
        <is>
          <t>Base sintetica para confrontar valor contratual</t>
        </is>
      </c>
    </row>
    <row r="4">
      <c r="A4" t="inlineStr" s="0">
        <is>
          <t>Engenheiro Frontend</t>
        </is>
      </c>
      <c r="B4" s="0">
        <v>640</v>
      </c>
      <c r="C4" s="0">
        <v>245</v>
      </c>
      <c r="D4" s="0">
        <f>B4*C4</f>
      </c>
      <c r="E4" t="inlineStr" s="0">
        <is>
          <t>Base sintetica para confrontar valor contratual</t>
        </is>
      </c>
    </row>
    <row r="5">
      <c r="A5" t="inlineStr" s="0">
        <is>
          <t>Engenheiro Dados/ML</t>
        </is>
      </c>
      <c r="B5" s="0">
        <v>760</v>
      </c>
      <c r="C5" s="0">
        <v>330</v>
      </c>
      <c r="D5" s="0">
        <f>B5*C5</f>
      </c>
      <c r="E5" t="inlineStr" s="0">
        <is>
          <t>Base sintetica para confrontar valor contratual</t>
        </is>
      </c>
    </row>
    <row r="6">
      <c r="A6" t="inlineStr" s="0">
        <is>
          <t>QA Automacao</t>
        </is>
      </c>
      <c r="B6" s="0">
        <v>520</v>
      </c>
      <c r="C6" s="0">
        <v>210</v>
      </c>
      <c r="D6" s="0">
        <f>B6*C6</f>
      </c>
      <c r="E6" t="inlineStr" s="0">
        <is>
          <t>Base sintetica para confrontar valor contratual</t>
        </is>
      </c>
    </row>
    <row r="7">
      <c r="A7" t="inlineStr" s="0">
        <is>
          <t>Gestao Projeto</t>
        </is>
      </c>
      <c r="B7" s="0">
        <v>360</v>
      </c>
      <c r="C7" s="0">
        <v>260</v>
      </c>
      <c r="D7" s="0">
        <f>B7*C7</f>
      </c>
      <c r="E7" t="inlineStr" s="0">
        <is>
          <t>Base sintetica para confrontar valor contratual</t>
        </is>
      </c>
    </row>
    <row r="8">
      <c r="A8" t="inlineStr" s="0">
        <is>
          <t>Seguranca</t>
        </is>
      </c>
      <c r="B8" s="0">
        <v>180</v>
      </c>
      <c r="C8" s="0">
        <v>420</v>
      </c>
      <c r="D8" s="0">
        <f>B8*C8</f>
      </c>
      <c r="E8" t="inlineStr" s="0">
        <is>
          <t>Base sintetica para confrontar valor contratual</t>
        </is>
      </c>
    </row>
  </sheetData>
</worksheet>
</file>

<file path=xl/worksheets/sheet5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36" customWidth="1"/>
    <col min="3" max="3" width="3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2">
        <is>
          <t>Mes</t>
        </is>
      </c>
      <c r="B1" t="inlineStr" s="2">
        <is>
          <t>Disponibilidade</t>
        </is>
      </c>
      <c r="C1" t="inlineStr" s="2">
        <is>
          <t>Base Mensal</t>
        </is>
      </c>
      <c r="D1" t="inlineStr" s="2">
        <is>
          <t>Credito SLA</t>
        </is>
      </c>
      <c r="E1" t="inlineStr" s="2">
        <is>
          <t>Regra</t>
        </is>
      </c>
    </row>
    <row r="2">
      <c r="A2" t="inlineStr" s="0">
        <is>
          <t>2026-10</t>
        </is>
      </c>
      <c r="B2" s="0">
        <v>0.997</v>
      </c>
      <c r="C2" s="0">
        <v>256800</v>
      </c>
      <c r="D2" s="0">
        <f>IF(B2&gt;=Premissas!B8,0,MIN((Premissas!B8-B2)*10*C2,0.06*C2))</f>
      </c>
      <c r="E2" t="inlineStr" s="0">
        <is>
          <t>Se abaixo de 99,50%, credito proporcional com teto de 6%</t>
        </is>
      </c>
    </row>
    <row r="3">
      <c r="A3" t="inlineStr" s="0">
        <is>
          <t>2026-11</t>
        </is>
      </c>
      <c r="B3" s="0">
        <v>0.991</v>
      </c>
      <c r="C3" s="0">
        <v>321000</v>
      </c>
      <c r="D3" s="0">
        <f>IF(B3&gt;=Premissas!B8,0,MIN((Premissas!B8-B3)*10*C3,0.06*C3))</f>
      </c>
      <c r="E3" t="inlineStr" s="0">
        <is>
          <t>Se abaixo de 99,50%, credito proporcional com teto de 6%</t>
        </is>
      </c>
    </row>
    <row r="4">
      <c r="A4" t="inlineStr" s="0">
        <is>
          <t>2026-12</t>
        </is>
      </c>
      <c r="B4" s="0">
        <v>0.986</v>
      </c>
      <c r="C4" s="0">
        <v>321000</v>
      </c>
      <c r="D4" s="0">
        <f>IF(B4&gt;=Premissas!B8,0,MIN((Premissas!B8-B4)*10*C4,0.06*C4))</f>
      </c>
      <c r="E4" t="inlineStr" s="0">
        <is>
          <t>Se abaixo de 99,50%, credito proporcional com teto de 6%</t>
        </is>
      </c>
    </row>
    <row r="5">
      <c r="A5" t="inlineStr" s="0">
        <is>
          <t>2027-01</t>
        </is>
      </c>
      <c r="B5" s="0">
        <v>0.996</v>
      </c>
      <c r="C5" s="0">
        <v>256800</v>
      </c>
      <c r="D5" s="0">
        <f>IF(B5&gt;=Premissas!B8,0,MIN((Premissas!B8-B5)*10*C5,0.06*C5))</f>
      </c>
      <c r="E5" t="inlineStr" s="0">
        <is>
          <t>Se abaixo de 99,50%, credito proporcional com teto de 6%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 RAG Test Generator</dc:creator>
  <dc:title>calculos-contrato-rag</dc:title>
  <dc:subject>Planilha sintetica de calculos contratuais</dc:subject>
  <cp:keywords>RAG; XLSX; formulas; contrato; SLA; cronograma</cp:keywords>
  <dcterms:created xsi:type="dcterms:W3CDTF">2026-07-11T12:00:00Z</dcterms:created>
</cp:coreProperties>
</file>